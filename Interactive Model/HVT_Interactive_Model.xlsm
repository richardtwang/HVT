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chard\Documents\"/>
    </mc:Choice>
  </mc:AlternateContent>
  <bookViews>
    <workbookView xWindow="0" yWindow="0" windowWidth="19200" windowHeight="6648"/>
  </bookViews>
  <sheets>
    <sheet name="Probability" sheetId="1" r:id="rId1"/>
    <sheet name="Rule" sheetId="2" state="hidden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6" i="1" l="1"/>
  <c r="G36" i="1"/>
  <c r="C2" i="2" l="1"/>
  <c r="B2" i="2"/>
  <c r="C7" i="2" l="1"/>
  <c r="B7" i="2"/>
  <c r="C6" i="2"/>
  <c r="B6" i="2"/>
  <c r="C5" i="2"/>
  <c r="B5" i="2"/>
  <c r="C4" i="2"/>
  <c r="B4" i="2"/>
  <c r="C3" i="2"/>
  <c r="B3" i="2"/>
  <c r="C1" i="2"/>
  <c r="B1" i="2"/>
  <c r="E1" i="2" l="1"/>
  <c r="D1" i="2"/>
  <c r="E3" i="2"/>
  <c r="D3" i="2"/>
  <c r="E7" i="2"/>
  <c r="D7" i="2"/>
  <c r="E2" i="2"/>
  <c r="D2" i="2"/>
  <c r="E4" i="2"/>
  <c r="D4" i="2"/>
  <c r="E6" i="2"/>
  <c r="D6" i="2"/>
  <c r="E5" i="2"/>
  <c r="D5" i="2"/>
  <c r="G37" i="1"/>
  <c r="D8" i="2" l="1"/>
  <c r="H37" i="1"/>
  <c r="H38" i="1" s="1"/>
</calcChain>
</file>

<file path=xl/sharedStrings.xml><?xml version="1.0" encoding="utf-8"?>
<sst xmlns="http://schemas.openxmlformats.org/spreadsheetml/2006/main" count="102" uniqueCount="50">
  <si>
    <t>Change in probability</t>
  </si>
  <si>
    <t>***</t>
  </si>
  <si>
    <t>&lt; 2e-16</t>
  </si>
  <si>
    <t>Pct_White_Collar</t>
  </si>
  <si>
    <t>House_Income_Below55k</t>
  </si>
  <si>
    <t>Avg_House_Size</t>
  </si>
  <si>
    <t>Pct_Owner</t>
  </si>
  <si>
    <t>Pct_Asian</t>
  </si>
  <si>
    <t>Pct_Black</t>
  </si>
  <si>
    <t>Pct_White</t>
  </si>
  <si>
    <t>Pct_Hisp</t>
  </si>
  <si>
    <t>Pct_Above60</t>
  </si>
  <si>
    <t>Pct_Under60</t>
  </si>
  <si>
    <t>Pct_Under40</t>
  </si>
  <si>
    <t>Unknown</t>
  </si>
  <si>
    <t>Hispanic</t>
  </si>
  <si>
    <t>65+</t>
  </si>
  <si>
    <t>55-64</t>
  </si>
  <si>
    <t>45-54</t>
  </si>
  <si>
    <t>35-44</t>
  </si>
  <si>
    <t>Undesignated</t>
  </si>
  <si>
    <t>Female</t>
  </si>
  <si>
    <t>Unaffiliated</t>
  </si>
  <si>
    <t>Republican</t>
  </si>
  <si>
    <t>**</t>
  </si>
  <si>
    <t>Libertarian</t>
  </si>
  <si>
    <t>*</t>
  </si>
  <si>
    <t>Other</t>
  </si>
  <si>
    <t>Two or More</t>
  </si>
  <si>
    <t>Indian-American</t>
  </si>
  <si>
    <t>Black</t>
  </si>
  <si>
    <t>Asian</t>
  </si>
  <si>
    <t>Midterm_Pct_Over25</t>
  </si>
  <si>
    <t>Preceding_Presidential</t>
  </si>
  <si>
    <t>Total_Vote</t>
  </si>
  <si>
    <t>(Intercept)</t>
  </si>
  <si>
    <t>Pr(&gt;|z|)</t>
  </si>
  <si>
    <t>z value</t>
  </si>
  <si>
    <t>Std. Error</t>
  </si>
  <si>
    <t>Estimate</t>
  </si>
  <si>
    <t>From</t>
  </si>
  <si>
    <t>To</t>
  </si>
  <si>
    <t>P(Probability)</t>
  </si>
  <si>
    <t>4.Age Group Notice: Age Group block sum must not exceed 1</t>
  </si>
  <si>
    <t>7.Race Notice: Race block sum must not exceed 1</t>
  </si>
  <si>
    <t>6.Party Notice: Party block sum must not exceed 1</t>
  </si>
  <si>
    <t>5.Gender Notice: Gender block sum must not exceed 1</t>
  </si>
  <si>
    <t>3.Ethnicity Notice: Ethnicity block sum must not exceed 1</t>
  </si>
  <si>
    <t>2.Census Age Notice: Census Age block sum much not exceed 100%</t>
  </si>
  <si>
    <t>1.Census Ethnicity Notice: Census Ethnicity block sum must not exceed 100%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</si>
</sst>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0.00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ourier New"/>
      <family val="3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66FFCC"/>
        <bgColor indexed="64"/>
      </patternFill>
    </fill>
    <fill>
      <patternFill patternType="solid">
        <fgColor rgb="FFCBC2EA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0">
    <xf numFmtId="0" fontId="0" fillId="0" borderId="0" xfId="0"/>
    <xf numFmtId="11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1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8" borderId="1" xfId="0" applyFill="1" applyBorder="1" applyAlignment="1">
      <alignment vertical="center"/>
    </xf>
    <xf numFmtId="11" fontId="0" fillId="0" borderId="1" xfId="0" applyNumberFormat="1" applyBorder="1" applyAlignment="1">
      <alignment vertical="center"/>
    </xf>
    <xf numFmtId="0" fontId="0" fillId="7" borderId="1" xfId="0" applyFill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  <xf numFmtId="0" fontId="0" fillId="4" borderId="1" xfId="0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 applyProtection="1">
      <alignment vertical="center"/>
      <protection locked="0"/>
    </xf>
    <xf numFmtId="10" fontId="0" fillId="0" borderId="1" xfId="0" applyNumberForma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3" fillId="0" borderId="0" xfId="0" applyFont="1"/>
    <xf numFmtId="0" fontId="0" fillId="0" borderId="0" xfId="0" applyFill="1" applyBorder="1" applyAlignment="1">
      <alignment vertical="center"/>
    </xf>
    <xf numFmtId="2" fontId="0" fillId="0" borderId="1" xfId="0" applyNumberFormat="1" applyBorder="1" applyAlignment="1" applyProtection="1">
      <alignment vertical="center"/>
      <protection locked="0"/>
    </xf>
    <xf numFmtId="10" fontId="0" fillId="0" borderId="0" xfId="0" applyNumberFormat="1" applyProtection="1">
      <protection locked="0"/>
    </xf>
    <xf numFmtId="164" fontId="0" fillId="0" borderId="0" xfId="1" applyNumberFormat="1" applyFont="1" applyProtection="1"/>
    <xf numFmtId="0" fontId="0" fillId="0" borderId="0" xfId="0" applyProtection="1"/>
    <xf numFmtId="10" fontId="0" fillId="0" borderId="0" xfId="1" applyNumberFormat="1" applyFont="1" applyProtection="1"/>
    <xf numFmtId="0" fontId="6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0</xdr:row>
          <xdr:rowOff>38100</xdr:rowOff>
        </xdr:from>
        <xdr:to>
          <xdr:col>7</xdr:col>
          <xdr:colOff>563880</xdr:colOff>
          <xdr:row>1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Input Value in Column 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34</xdr:row>
          <xdr:rowOff>83820</xdr:rowOff>
        </xdr:from>
        <xdr:to>
          <xdr:col>8</xdr:col>
          <xdr:colOff>0</xdr:colOff>
          <xdr:row>35</xdr:row>
          <xdr:rowOff>175260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ln(P/(1-P))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38"/>
  <sheetViews>
    <sheetView tabSelected="1" workbookViewId="0">
      <pane ySplit="3" topLeftCell="A4" activePane="bottomLeft" state="frozen"/>
      <selection pane="bottomLeft" activeCell="G34" sqref="G34"/>
    </sheetView>
  </sheetViews>
  <sheetFormatPr defaultRowHeight="14.4" x14ac:dyDescent="0.55000000000000004"/>
  <cols>
    <col min="1" max="1" width="21.3125" customWidth="1"/>
    <col min="2" max="2" width="10.5234375" customWidth="1"/>
    <col min="7" max="7" width="8.89453125" style="19"/>
    <col min="8" max="8" width="11.3125" style="19" customWidth="1"/>
  </cols>
  <sheetData>
    <row r="1" spans="1:11" ht="25.2" customHeight="1" x14ac:dyDescent="0.55000000000000004"/>
    <row r="2" spans="1:11" ht="25.2" customHeight="1" thickBot="1" x14ac:dyDescent="0.6">
      <c r="A2" s="22">
        <v>0</v>
      </c>
      <c r="B2" s="22">
        <v>1</v>
      </c>
      <c r="C2" s="22">
        <v>2</v>
      </c>
      <c r="D2" s="22">
        <v>3</v>
      </c>
      <c r="E2" s="22">
        <v>4</v>
      </c>
      <c r="F2" s="22">
        <v>5</v>
      </c>
    </row>
    <row r="3" spans="1:11" ht="22.8" customHeight="1" x14ac:dyDescent="0.55000000000000004">
      <c r="A3" s="4"/>
      <c r="B3" s="3" t="s">
        <v>39</v>
      </c>
      <c r="C3" s="3" t="s">
        <v>38</v>
      </c>
      <c r="D3" s="3" t="s">
        <v>37</v>
      </c>
      <c r="E3" s="3" t="s">
        <v>36</v>
      </c>
      <c r="F3" s="3"/>
      <c r="G3" s="20" t="s">
        <v>40</v>
      </c>
      <c r="H3" s="21" t="s">
        <v>41</v>
      </c>
    </row>
    <row r="4" spans="1:11" x14ac:dyDescent="0.55000000000000004">
      <c r="A4" s="6" t="s">
        <v>35</v>
      </c>
      <c r="B4" s="6">
        <v>-3.6686380000000001</v>
      </c>
      <c r="C4" s="6">
        <v>0.18274000000000001</v>
      </c>
      <c r="D4" s="6">
        <v>-20.076000000000001</v>
      </c>
      <c r="E4" s="6" t="s">
        <v>2</v>
      </c>
      <c r="F4" s="6" t="s">
        <v>1</v>
      </c>
      <c r="G4" s="17">
        <v>1</v>
      </c>
      <c r="H4" s="17">
        <v>1</v>
      </c>
      <c r="K4" s="16"/>
    </row>
    <row r="5" spans="1:11" x14ac:dyDescent="0.55000000000000004">
      <c r="A5" s="5" t="s">
        <v>34</v>
      </c>
      <c r="B5" s="6">
        <v>0.62486900000000001</v>
      </c>
      <c r="C5" s="6">
        <v>2.1970000000000002E-3</v>
      </c>
      <c r="D5" s="6">
        <v>284.41699999999997</v>
      </c>
      <c r="E5" s="6" t="s">
        <v>2</v>
      </c>
      <c r="F5" s="6" t="s">
        <v>1</v>
      </c>
      <c r="G5" s="17">
        <v>0</v>
      </c>
      <c r="H5" s="17">
        <v>5</v>
      </c>
      <c r="K5" s="15"/>
    </row>
    <row r="6" spans="1:11" x14ac:dyDescent="0.55000000000000004">
      <c r="A6" s="5" t="s">
        <v>33</v>
      </c>
      <c r="B6" s="6">
        <v>0.40187299999999998</v>
      </c>
      <c r="C6" s="6">
        <v>5.7660000000000003E-3</v>
      </c>
      <c r="D6" s="6">
        <v>69.694000000000003</v>
      </c>
      <c r="E6" s="6" t="s">
        <v>2</v>
      </c>
      <c r="F6" s="6" t="s">
        <v>1</v>
      </c>
      <c r="G6" s="17">
        <v>0</v>
      </c>
      <c r="H6" s="17">
        <v>0</v>
      </c>
      <c r="K6" s="16"/>
    </row>
    <row r="7" spans="1:11" x14ac:dyDescent="0.55000000000000004">
      <c r="A7" s="5" t="s">
        <v>32</v>
      </c>
      <c r="B7" s="6">
        <v>0.22791900000000001</v>
      </c>
      <c r="C7" s="6">
        <v>5.6109999999999997E-3</v>
      </c>
      <c r="D7" s="6">
        <v>40.622999999999998</v>
      </c>
      <c r="E7" s="6" t="s">
        <v>2</v>
      </c>
      <c r="F7" s="6" t="s">
        <v>1</v>
      </c>
      <c r="G7" s="17">
        <v>0</v>
      </c>
      <c r="H7" s="17">
        <v>1</v>
      </c>
      <c r="K7" s="15"/>
    </row>
    <row r="8" spans="1:11" x14ac:dyDescent="0.55000000000000004">
      <c r="A8" s="7" t="s">
        <v>31</v>
      </c>
      <c r="B8" s="6">
        <v>0.12600700000000001</v>
      </c>
      <c r="C8" s="6">
        <v>2.1076000000000001E-2</v>
      </c>
      <c r="D8" s="6">
        <v>5.9790000000000001</v>
      </c>
      <c r="E8" s="8">
        <v>2.2499999999999999E-9</v>
      </c>
      <c r="F8" s="6" t="s">
        <v>1</v>
      </c>
      <c r="G8" s="17">
        <v>0</v>
      </c>
      <c r="H8" s="17">
        <v>1</v>
      </c>
    </row>
    <row r="9" spans="1:11" x14ac:dyDescent="0.55000000000000004">
      <c r="A9" s="7" t="s">
        <v>30</v>
      </c>
      <c r="B9" s="6">
        <v>-0.14704800000000001</v>
      </c>
      <c r="C9" s="6">
        <v>6.5839999999999996E-3</v>
      </c>
      <c r="D9" s="6">
        <v>-22.332999999999998</v>
      </c>
      <c r="E9" s="6" t="s">
        <v>2</v>
      </c>
      <c r="F9" s="6" t="s">
        <v>1</v>
      </c>
      <c r="G9" s="17">
        <v>0</v>
      </c>
      <c r="H9" s="17">
        <v>0</v>
      </c>
      <c r="K9" s="15"/>
    </row>
    <row r="10" spans="1:11" x14ac:dyDescent="0.55000000000000004">
      <c r="A10" s="7" t="s">
        <v>29</v>
      </c>
      <c r="B10" s="6">
        <v>-0.296352</v>
      </c>
      <c r="C10" s="6">
        <v>2.6450000000000001E-2</v>
      </c>
      <c r="D10" s="6">
        <v>-11.204000000000001</v>
      </c>
      <c r="E10" s="6" t="s">
        <v>2</v>
      </c>
      <c r="F10" s="6" t="s">
        <v>1</v>
      </c>
      <c r="G10" s="17">
        <v>0</v>
      </c>
      <c r="H10" s="17">
        <v>0</v>
      </c>
      <c r="K10" s="16"/>
    </row>
    <row r="11" spans="1:11" x14ac:dyDescent="0.55000000000000004">
      <c r="A11" s="7" t="s">
        <v>28</v>
      </c>
      <c r="B11" s="6">
        <v>-0.29585899999999998</v>
      </c>
      <c r="C11" s="6">
        <v>2.9506999999999999E-2</v>
      </c>
      <c r="D11" s="6">
        <v>-10.026999999999999</v>
      </c>
      <c r="E11" s="6" t="s">
        <v>2</v>
      </c>
      <c r="F11" s="6" t="s">
        <v>1</v>
      </c>
      <c r="G11" s="17">
        <v>0</v>
      </c>
      <c r="H11" s="17">
        <v>0</v>
      </c>
      <c r="K11" s="15"/>
    </row>
    <row r="12" spans="1:11" x14ac:dyDescent="0.55000000000000004">
      <c r="A12" s="7" t="s">
        <v>27</v>
      </c>
      <c r="B12" s="6">
        <v>-4.3429000000000002E-2</v>
      </c>
      <c r="C12" s="6">
        <v>1.7135999999999998E-2</v>
      </c>
      <c r="D12" s="6">
        <v>-2.5339999999999998</v>
      </c>
      <c r="E12" s="6">
        <v>1.1265000000000001E-2</v>
      </c>
      <c r="F12" s="6" t="s">
        <v>26</v>
      </c>
      <c r="G12" s="17">
        <v>0</v>
      </c>
      <c r="H12" s="17">
        <v>0</v>
      </c>
      <c r="K12" s="16"/>
    </row>
    <row r="13" spans="1:11" x14ac:dyDescent="0.55000000000000004">
      <c r="A13" s="9" t="s">
        <v>25</v>
      </c>
      <c r="B13" s="6">
        <v>0.104778</v>
      </c>
      <c r="C13" s="6">
        <v>3.4480999999999998E-2</v>
      </c>
      <c r="D13" s="6">
        <v>3.0390000000000001</v>
      </c>
      <c r="E13" s="6">
        <v>2.3760000000000001E-3</v>
      </c>
      <c r="F13" s="6" t="s">
        <v>24</v>
      </c>
      <c r="G13" s="17">
        <v>0</v>
      </c>
      <c r="H13" s="17">
        <v>0</v>
      </c>
      <c r="K13" s="15"/>
    </row>
    <row r="14" spans="1:11" x14ac:dyDescent="0.55000000000000004">
      <c r="A14" s="9" t="s">
        <v>23</v>
      </c>
      <c r="B14" s="6">
        <v>0.22392300000000001</v>
      </c>
      <c r="C14" s="6">
        <v>6.1139999999999996E-3</v>
      </c>
      <c r="D14" s="6">
        <v>36.625</v>
      </c>
      <c r="E14" s="6" t="s">
        <v>2</v>
      </c>
      <c r="F14" s="6" t="s">
        <v>1</v>
      </c>
      <c r="G14" s="17">
        <v>1</v>
      </c>
      <c r="H14" s="17">
        <v>1</v>
      </c>
      <c r="K14" s="16"/>
    </row>
    <row r="15" spans="1:11" x14ac:dyDescent="0.55000000000000004">
      <c r="A15" s="9" t="s">
        <v>22</v>
      </c>
      <c r="B15" s="6">
        <v>0.15060499999999999</v>
      </c>
      <c r="C15" s="6">
        <v>5.9199999999999999E-3</v>
      </c>
      <c r="D15" s="6">
        <v>25.44</v>
      </c>
      <c r="E15" s="6" t="s">
        <v>2</v>
      </c>
      <c r="F15" s="6" t="s">
        <v>1</v>
      </c>
      <c r="G15" s="17">
        <v>0</v>
      </c>
      <c r="H15" s="17">
        <v>0</v>
      </c>
      <c r="K15" s="15"/>
    </row>
    <row r="16" spans="1:11" x14ac:dyDescent="0.55000000000000004">
      <c r="A16" s="10" t="s">
        <v>21</v>
      </c>
      <c r="B16" s="6">
        <v>4.6913000000000003E-2</v>
      </c>
      <c r="C16" s="6">
        <v>4.4790000000000003E-3</v>
      </c>
      <c r="D16" s="6">
        <v>10.474</v>
      </c>
      <c r="E16" s="6" t="s">
        <v>2</v>
      </c>
      <c r="F16" s="6" t="s">
        <v>1</v>
      </c>
      <c r="G16" s="17">
        <v>0</v>
      </c>
      <c r="H16" s="17">
        <v>0</v>
      </c>
      <c r="K16" s="16"/>
    </row>
    <row r="17" spans="1:11" x14ac:dyDescent="0.55000000000000004">
      <c r="A17" s="10" t="s">
        <v>20</v>
      </c>
      <c r="B17" s="6">
        <v>0.181087</v>
      </c>
      <c r="C17" s="6">
        <v>2.0086E-2</v>
      </c>
      <c r="D17" s="6">
        <v>9.0150000000000006</v>
      </c>
      <c r="E17" s="6" t="s">
        <v>2</v>
      </c>
      <c r="F17" s="6" t="s">
        <v>1</v>
      </c>
      <c r="G17" s="17">
        <v>0</v>
      </c>
      <c r="H17" s="17">
        <v>0</v>
      </c>
      <c r="K17" s="15"/>
    </row>
    <row r="18" spans="1:11" x14ac:dyDescent="0.55000000000000004">
      <c r="A18" s="11" t="s">
        <v>19</v>
      </c>
      <c r="B18" s="6">
        <v>0.206618</v>
      </c>
      <c r="C18" s="6">
        <v>7.1989999999999997E-3</v>
      </c>
      <c r="D18" s="6">
        <v>28.699000000000002</v>
      </c>
      <c r="E18" s="6" t="s">
        <v>2</v>
      </c>
      <c r="F18" s="6" t="s">
        <v>1</v>
      </c>
      <c r="G18" s="17">
        <v>0</v>
      </c>
      <c r="H18" s="17">
        <v>0</v>
      </c>
      <c r="K18" s="16"/>
    </row>
    <row r="19" spans="1:11" x14ac:dyDescent="0.55000000000000004">
      <c r="A19" s="11" t="s">
        <v>18</v>
      </c>
      <c r="B19" s="6">
        <v>0.332455</v>
      </c>
      <c r="C19" s="6">
        <v>7.3000000000000001E-3</v>
      </c>
      <c r="D19" s="6">
        <v>45.540999999999997</v>
      </c>
      <c r="E19" s="6" t="s">
        <v>2</v>
      </c>
      <c r="F19" s="6" t="s">
        <v>1</v>
      </c>
      <c r="G19" s="17">
        <v>0</v>
      </c>
      <c r="H19" s="17">
        <v>0</v>
      </c>
      <c r="K19" s="15"/>
    </row>
    <row r="20" spans="1:11" x14ac:dyDescent="0.55000000000000004">
      <c r="A20" s="11" t="s">
        <v>17</v>
      </c>
      <c r="B20" s="6">
        <v>0.40858499999999998</v>
      </c>
      <c r="C20" s="6">
        <v>7.646E-3</v>
      </c>
      <c r="D20" s="6">
        <v>53.436999999999998</v>
      </c>
      <c r="E20" s="6" t="s">
        <v>2</v>
      </c>
      <c r="F20" s="6" t="s">
        <v>1</v>
      </c>
      <c r="G20" s="17">
        <v>1</v>
      </c>
      <c r="H20" s="17">
        <v>1</v>
      </c>
      <c r="K20" s="16"/>
    </row>
    <row r="21" spans="1:11" x14ac:dyDescent="0.55000000000000004">
      <c r="A21" s="11" t="s">
        <v>16</v>
      </c>
      <c r="B21" s="6">
        <v>-6.1719999999999997E-2</v>
      </c>
      <c r="C21" s="6">
        <v>7.3670000000000003E-3</v>
      </c>
      <c r="D21" s="6">
        <v>-8.3780000000000001</v>
      </c>
      <c r="E21" s="6" t="s">
        <v>2</v>
      </c>
      <c r="F21" s="6" t="s">
        <v>1</v>
      </c>
      <c r="G21" s="17">
        <v>0</v>
      </c>
      <c r="H21" s="17">
        <v>0</v>
      </c>
      <c r="K21" s="15"/>
    </row>
    <row r="22" spans="1:11" x14ac:dyDescent="0.55000000000000004">
      <c r="A22" s="12" t="s">
        <v>15</v>
      </c>
      <c r="B22" s="6">
        <v>0.203101</v>
      </c>
      <c r="C22" s="6">
        <v>1.8093999999999999E-2</v>
      </c>
      <c r="D22" s="6">
        <v>11.224</v>
      </c>
      <c r="E22" s="6" t="s">
        <v>2</v>
      </c>
      <c r="F22" s="6" t="s">
        <v>1</v>
      </c>
      <c r="G22" s="17">
        <v>0</v>
      </c>
      <c r="H22" s="17">
        <v>0</v>
      </c>
      <c r="K22" s="15"/>
    </row>
    <row r="23" spans="1:11" x14ac:dyDescent="0.55000000000000004">
      <c r="A23" s="12" t="s">
        <v>14</v>
      </c>
      <c r="B23" s="6">
        <v>-6.1082999999999998E-2</v>
      </c>
      <c r="C23" s="6">
        <v>5.7080000000000004E-3</v>
      </c>
      <c r="D23" s="6">
        <v>-10.702</v>
      </c>
      <c r="E23" s="6" t="s">
        <v>2</v>
      </c>
      <c r="F23" s="6" t="s">
        <v>1</v>
      </c>
      <c r="G23" s="17">
        <v>0</v>
      </c>
      <c r="H23" s="17">
        <v>0</v>
      </c>
      <c r="K23" s="15"/>
    </row>
    <row r="24" spans="1:11" x14ac:dyDescent="0.55000000000000004">
      <c r="A24" s="13" t="s">
        <v>13</v>
      </c>
      <c r="B24" s="6">
        <v>0.64770700000000003</v>
      </c>
      <c r="C24" s="6">
        <v>0.16501199999999999</v>
      </c>
      <c r="D24" s="6">
        <v>3.9249999999999998</v>
      </c>
      <c r="E24" s="8">
        <v>8.6700000000000007E-5</v>
      </c>
      <c r="F24" s="6" t="s">
        <v>1</v>
      </c>
      <c r="G24" s="18">
        <v>0.2581</v>
      </c>
      <c r="H24" s="18">
        <v>0.28000000000000003</v>
      </c>
      <c r="K24" s="16"/>
    </row>
    <row r="25" spans="1:11" x14ac:dyDescent="0.55000000000000004">
      <c r="A25" s="13" t="s">
        <v>12</v>
      </c>
      <c r="B25" s="6">
        <v>2.049544</v>
      </c>
      <c r="C25" s="6">
        <v>0.17910599999999999</v>
      </c>
      <c r="D25" s="6">
        <v>11.443</v>
      </c>
      <c r="E25" s="6" t="s">
        <v>2</v>
      </c>
      <c r="F25" s="6" t="s">
        <v>1</v>
      </c>
      <c r="G25" s="18">
        <v>0.27810000000000001</v>
      </c>
      <c r="H25" s="18">
        <v>0.27839999999999998</v>
      </c>
      <c r="K25" s="15"/>
    </row>
    <row r="26" spans="1:11" x14ac:dyDescent="0.55000000000000004">
      <c r="A26" s="13" t="s">
        <v>11</v>
      </c>
      <c r="B26" s="6">
        <v>0.53549800000000003</v>
      </c>
      <c r="C26" s="6">
        <v>0.151313</v>
      </c>
      <c r="D26" s="6">
        <v>3.5390000000000001</v>
      </c>
      <c r="E26" s="6">
        <v>4.0200000000000001E-4</v>
      </c>
      <c r="F26" s="6" t="s">
        <v>1</v>
      </c>
      <c r="G26" s="18">
        <v>0.20669999999999999</v>
      </c>
      <c r="H26" s="18">
        <v>0.1903</v>
      </c>
      <c r="K26" s="16"/>
    </row>
    <row r="27" spans="1:11" x14ac:dyDescent="0.55000000000000004">
      <c r="A27" s="14" t="s">
        <v>10</v>
      </c>
      <c r="B27" s="6">
        <v>0.95639799999999997</v>
      </c>
      <c r="C27" s="6">
        <v>6.9272E-2</v>
      </c>
      <c r="D27" s="6">
        <v>13.805999999999999</v>
      </c>
      <c r="E27" s="6" t="s">
        <v>2</v>
      </c>
      <c r="F27" s="6" t="s">
        <v>1</v>
      </c>
      <c r="G27" s="18">
        <v>8.4900000000000003E-2</v>
      </c>
      <c r="H27" s="18">
        <v>9.1200000000000003E-2</v>
      </c>
      <c r="K27" s="16"/>
    </row>
    <row r="28" spans="1:11" x14ac:dyDescent="0.55000000000000004">
      <c r="A28" s="14" t="s">
        <v>9</v>
      </c>
      <c r="B28" s="6">
        <v>0.87836800000000004</v>
      </c>
      <c r="C28" s="6">
        <v>4.6427999999999997E-2</v>
      </c>
      <c r="D28" s="6">
        <v>18.919</v>
      </c>
      <c r="E28" s="6" t="s">
        <v>2</v>
      </c>
      <c r="F28" s="6" t="s">
        <v>1</v>
      </c>
      <c r="G28" s="18">
        <v>0.66390000000000005</v>
      </c>
      <c r="H28" s="18">
        <v>0.59</v>
      </c>
      <c r="K28" s="16"/>
    </row>
    <row r="29" spans="1:11" x14ac:dyDescent="0.55000000000000004">
      <c r="A29" s="14" t="s">
        <v>8</v>
      </c>
      <c r="B29" s="6">
        <v>0.83819600000000005</v>
      </c>
      <c r="C29" s="6">
        <v>4.8614999999999998E-2</v>
      </c>
      <c r="D29" s="6">
        <v>17.241</v>
      </c>
      <c r="E29" s="6" t="s">
        <v>2</v>
      </c>
      <c r="F29" s="6" t="s">
        <v>1</v>
      </c>
      <c r="G29" s="18">
        <v>0.19620000000000001</v>
      </c>
      <c r="H29" s="18">
        <v>0.2</v>
      </c>
      <c r="K29" s="16"/>
    </row>
    <row r="30" spans="1:11" x14ac:dyDescent="0.55000000000000004">
      <c r="A30" s="14" t="s">
        <v>7</v>
      </c>
      <c r="B30" s="6">
        <v>1.1895230000000001</v>
      </c>
      <c r="C30" s="6">
        <v>0.11207499999999999</v>
      </c>
      <c r="D30" s="6">
        <v>10.614000000000001</v>
      </c>
      <c r="E30" s="6" t="s">
        <v>2</v>
      </c>
      <c r="F30" s="6" t="s">
        <v>1</v>
      </c>
      <c r="G30" s="18">
        <v>2.2599999999999999E-2</v>
      </c>
      <c r="H30" s="18">
        <v>0.03</v>
      </c>
      <c r="K30" s="16"/>
    </row>
    <row r="31" spans="1:11" x14ac:dyDescent="0.55000000000000004">
      <c r="A31" s="6" t="s">
        <v>6</v>
      </c>
      <c r="B31" s="6">
        <v>0.45463300000000001</v>
      </c>
      <c r="C31" s="6">
        <v>4.5022E-2</v>
      </c>
      <c r="D31" s="6">
        <v>10.098000000000001</v>
      </c>
      <c r="E31" s="6" t="s">
        <v>2</v>
      </c>
      <c r="F31" s="6" t="s">
        <v>1</v>
      </c>
      <c r="G31" s="18">
        <v>0.69340000000000002</v>
      </c>
      <c r="H31" s="18">
        <v>0.67549999999999999</v>
      </c>
      <c r="K31" s="15"/>
    </row>
    <row r="32" spans="1:11" x14ac:dyDescent="0.55000000000000004">
      <c r="A32" s="6" t="s">
        <v>5</v>
      </c>
      <c r="B32" s="6">
        <v>0.17460500000000001</v>
      </c>
      <c r="C32" s="6">
        <v>3.0613000000000001E-2</v>
      </c>
      <c r="D32" s="6">
        <v>5.7039999999999997</v>
      </c>
      <c r="E32" s="8">
        <v>1.1700000000000001E-8</v>
      </c>
      <c r="F32" s="6" t="s">
        <v>1</v>
      </c>
      <c r="G32" s="24">
        <v>2.5099999999999998</v>
      </c>
      <c r="H32" s="24">
        <v>2.5099999999999998</v>
      </c>
      <c r="K32" s="16"/>
    </row>
    <row r="33" spans="1:11" x14ac:dyDescent="0.55000000000000004">
      <c r="A33" s="6" t="s">
        <v>4</v>
      </c>
      <c r="B33" s="6">
        <v>-7.7050999999999994E-2</v>
      </c>
      <c r="C33" s="6">
        <v>6.5640000000000004E-3</v>
      </c>
      <c r="D33" s="6">
        <v>-11.738</v>
      </c>
      <c r="E33" s="6" t="s">
        <v>2</v>
      </c>
      <c r="F33" s="6" t="s">
        <v>1</v>
      </c>
      <c r="G33" s="17">
        <v>0</v>
      </c>
      <c r="H33" s="17">
        <v>0</v>
      </c>
      <c r="K33" s="15"/>
    </row>
    <row r="34" spans="1:11" x14ac:dyDescent="0.55000000000000004">
      <c r="A34" s="6" t="s">
        <v>3</v>
      </c>
      <c r="B34" s="6">
        <v>0.36453600000000003</v>
      </c>
      <c r="C34" s="6">
        <v>3.5903999999999998E-2</v>
      </c>
      <c r="D34" s="6">
        <v>10.153</v>
      </c>
      <c r="E34" s="6" t="s">
        <v>2</v>
      </c>
      <c r="F34" s="6" t="s">
        <v>1</v>
      </c>
      <c r="G34" s="18">
        <v>0.59299999999999997</v>
      </c>
      <c r="H34" s="18">
        <v>0.98</v>
      </c>
      <c r="K34" s="16"/>
    </row>
    <row r="35" spans="1:11" x14ac:dyDescent="0.55000000000000004">
      <c r="B35" s="2"/>
      <c r="C35" s="1"/>
      <c r="E35" s="1"/>
      <c r="K35" s="15"/>
    </row>
    <row r="36" spans="1:11" x14ac:dyDescent="0.55000000000000004">
      <c r="E36" s="23"/>
      <c r="G36" s="19">
        <f>SUMPRODUCT(B4:B34,G4:G34)</f>
        <v>-0.36293629969999969</v>
      </c>
      <c r="H36" s="19">
        <f>SUMPRODUCT(B4:B34,H4:H34)</f>
        <v>3.2073912080999998</v>
      </c>
      <c r="K36" s="16"/>
    </row>
    <row r="37" spans="1:11" x14ac:dyDescent="0.55000000000000004">
      <c r="E37" t="s">
        <v>42</v>
      </c>
      <c r="G37" s="26">
        <f>EXP(G36)/(EXP(G36)+1)</f>
        <v>0.41024895688325458</v>
      </c>
      <c r="H37" s="26">
        <f>EXP(H36)/(EXP(H36)+1)</f>
        <v>0.9611114760038596</v>
      </c>
      <c r="K37" s="15"/>
    </row>
    <row r="38" spans="1:11" x14ac:dyDescent="0.55000000000000004">
      <c r="E38" t="s">
        <v>0</v>
      </c>
      <c r="G38" s="27"/>
      <c r="H38" s="28">
        <f>H37-$G37</f>
        <v>0.55086251912060502</v>
      </c>
      <c r="I38" s="29"/>
      <c r="K38" s="16"/>
    </row>
  </sheetData>
  <sheetProtection algorithmName="SHA-512" hashValue="CnI8QCdTNbPpkJTHSqKzVvKCD3SHKwtPsYrwIW8bP1nzZAwlMPe6KUoYEEACocZ86w9PQ41pvtHEGrlBZsv8rA==" saltValue="cl21LtzeFb0WCftJStozpw==" spinCount="100000" sheet="1" objects="1" scenarios="1"/>
  <dataConsolidate/>
  <dataValidations count="23">
    <dataValidation type="whole" operator="equal" allowBlank="1" showInputMessage="1" showErrorMessage="1" sqref="G4:H4">
      <formula1>1</formula1>
    </dataValidation>
    <dataValidation type="list" allowBlank="1" showInputMessage="1" showErrorMessage="1" sqref="G5:H5">
      <formula1>$A$2:$F$2</formula1>
    </dataValidation>
    <dataValidation type="list" allowBlank="1" showInputMessage="1" showErrorMessage="1" sqref="G6:H23 G33:H33">
      <formula1>$A$2:$B$2</formula1>
    </dataValidation>
    <dataValidation type="decimal" allowBlank="1" showInputMessage="1" showErrorMessage="1" error="Input value must be a percentage between 0 and 100" sqref="G24">
      <formula1>A2</formula1>
      <formula2>B2</formula2>
    </dataValidation>
    <dataValidation type="decimal" allowBlank="1" showInputMessage="1" showErrorMessage="1" errorTitle="Census White Collar" error="The percentage of white collar workers must be between 0 and 100%." sqref="G34">
      <formula1>A2</formula1>
      <formula2>B2</formula2>
    </dataValidation>
    <dataValidation type="decimal" allowBlank="1" showInputMessage="1" showErrorMessage="1" errorTitle="Census White Collar" error="The percentage of white collar workers must be between 0 and 100%." sqref="H34">
      <formula1>A2</formula1>
      <formula2>B2</formula2>
    </dataValidation>
    <dataValidation type="decimal" allowBlank="1" showInputMessage="1" showErrorMessage="1" errorTitle="Census Home Owner" error="The percentage of home owners must be between 0 and 100%." sqref="H31">
      <formula1>A2</formula1>
      <formula2>B2</formula2>
    </dataValidation>
    <dataValidation type="decimal" allowBlank="1" showInputMessage="1" showErrorMessage="1" errorTitle="Census Home Owner" error="The percentage of home owners must be between 0 and 100%." sqref="G31">
      <formula1>A2</formula1>
      <formula2>B2</formula2>
    </dataValidation>
    <dataValidation type="decimal" allowBlank="1" showInputMessage="1" showErrorMessage="1" error="Input value must be a percentage between 0 and 100" sqref="G30">
      <formula1>A2</formula1>
      <formula2>B2</formula2>
    </dataValidation>
    <dataValidation type="decimal" allowBlank="1" showInputMessage="1" showErrorMessage="1" error="Input value must be a percentage between 0 and 100" sqref="H30">
      <formula1>A2</formula1>
      <formula2>B2</formula2>
    </dataValidation>
    <dataValidation type="decimal" allowBlank="1" showInputMessage="1" showErrorMessage="1" error="Input value must be a percentage between 0 and 100" sqref="G29">
      <formula1>A2</formula1>
      <formula2>B2</formula2>
    </dataValidation>
    <dataValidation type="decimal" allowBlank="1" showInputMessage="1" showErrorMessage="1" error="Input value must be a percentage between 0 and 100" sqref="H29">
      <formula1>A2</formula1>
      <formula2>B2</formula2>
    </dataValidation>
    <dataValidation type="decimal" allowBlank="1" showInputMessage="1" showErrorMessage="1" error="Input value must be a percentage between 0 and 100" sqref="G28">
      <formula1>A2</formula1>
      <formula2>B2</formula2>
    </dataValidation>
    <dataValidation type="decimal" allowBlank="1" showInputMessage="1" showErrorMessage="1" error="Input value must be a percentage between 0 and 100" sqref="H28">
      <formula1>A2</formula1>
      <formula2>B2</formula2>
    </dataValidation>
    <dataValidation type="decimal" allowBlank="1" showInputMessage="1" showErrorMessage="1" error="Input value must be a percentage between 0 and 100" sqref="G27">
      <formula1>A2</formula1>
      <formula2>B2</formula2>
    </dataValidation>
    <dataValidation type="decimal" allowBlank="1" showInputMessage="1" showErrorMessage="1" error="Input value must be a percentage between 0 and 100" sqref="H27">
      <formula1>A2</formula1>
      <formula2>B2</formula2>
    </dataValidation>
    <dataValidation type="decimal" allowBlank="1" showInputMessage="1" showErrorMessage="1" error="Input value must be a percentage between 0 and 100" sqref="G26">
      <formula1>A2</formula1>
      <formula2>B2</formula2>
    </dataValidation>
    <dataValidation type="decimal" allowBlank="1" showInputMessage="1" showErrorMessage="1" error="Input value must be a percentage between 0 and 100" sqref="H26">
      <formula1>A2</formula1>
      <formula2>B2</formula2>
    </dataValidation>
    <dataValidation type="decimal" allowBlank="1" showInputMessage="1" showErrorMessage="1" error="Input value must be a percentage between 0 and 100" sqref="G25">
      <formula1>A2</formula1>
      <formula2>B2</formula2>
    </dataValidation>
    <dataValidation type="decimal" allowBlank="1" showInputMessage="1" showErrorMessage="1" error="Input value must be a percentage between 0 and 100" sqref="H25">
      <formula1>A2</formula1>
      <formula2>B2</formula2>
    </dataValidation>
    <dataValidation type="decimal" allowBlank="1" showInputMessage="1" showErrorMessage="1" error="Input value must be a percentage between 0 and 100" sqref="H24">
      <formula1>A2</formula1>
      <formula2>B2</formula2>
    </dataValidation>
    <dataValidation type="decimal" allowBlank="1" showInputMessage="1" showErrorMessage="1" error="Average household size between 1 and 5" sqref="G32">
      <formula1>B2</formula1>
      <formula2>F2</formula2>
    </dataValidation>
    <dataValidation type="decimal" allowBlank="1" showInputMessage="1" showErrorMessage="1" error="Average household size between 1 and 5" sqref="H32">
      <formula1>B2</formula1>
      <formula2>F2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set">
                <anchor moveWithCells="1" sizeWithCells="1">
                  <from>
                    <xdr:col>6</xdr:col>
                    <xdr:colOff>30480</xdr:colOff>
                    <xdr:row>0</xdr:row>
                    <xdr:rowOff>38100</xdr:rowOff>
                  </from>
                  <to>
                    <xdr:col>7</xdr:col>
                    <xdr:colOff>563880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alc">
                <anchor moveWithCells="1" sizeWithCells="1">
                  <from>
                    <xdr:col>6</xdr:col>
                    <xdr:colOff>76200</xdr:colOff>
                    <xdr:row>34</xdr:row>
                    <xdr:rowOff>83820</xdr:rowOff>
                  </from>
                  <to>
                    <xdr:col>8</xdr:col>
                    <xdr:colOff>0</xdr:colOff>
                    <xdr:row>35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topLeftCell="D1" workbookViewId="0">
      <selection activeCell="F1" sqref="F1:G7"/>
    </sheetView>
  </sheetViews>
  <sheetFormatPr defaultRowHeight="14.4" x14ac:dyDescent="0.55000000000000004"/>
  <cols>
    <col min="1" max="1" width="20.41796875" customWidth="1"/>
    <col min="5" max="6" width="64.41796875" bestFit="1" customWidth="1"/>
    <col min="7" max="7" width="15.89453125" customWidth="1"/>
  </cols>
  <sheetData>
    <row r="1" spans="1:5" x14ac:dyDescent="0.55000000000000004">
      <c r="A1" t="s">
        <v>44</v>
      </c>
      <c r="B1" s="19">
        <f>SUM(Probability!G8:G12)</f>
        <v>0</v>
      </c>
      <c r="C1" s="19">
        <f>SUM(Probability!H8:H12)</f>
        <v>1</v>
      </c>
      <c r="D1" s="19">
        <f>IF(OR(B1&gt;1, C1&gt;1), 1, 0)</f>
        <v>0</v>
      </c>
      <c r="E1" t="str">
        <f t="shared" ref="E1:E7" si="0">IF(OR(B1&gt;1, C1&gt;1), A1, "")</f>
        <v/>
      </c>
    </row>
    <row r="2" spans="1:5" x14ac:dyDescent="0.55000000000000004">
      <c r="A2" t="s">
        <v>45</v>
      </c>
      <c r="B2" s="19">
        <f>SUM(Probability!G13:G15)</f>
        <v>1</v>
      </c>
      <c r="C2" s="19">
        <f>SUM(Probability!H13:H15)</f>
        <v>1</v>
      </c>
      <c r="D2" s="19">
        <f t="shared" ref="D2:D7" si="1">IF(OR(B2&gt;1, C2&gt;1), 1, 0)</f>
        <v>0</v>
      </c>
      <c r="E2" t="str">
        <f t="shared" si="0"/>
        <v/>
      </c>
    </row>
    <row r="3" spans="1:5" x14ac:dyDescent="0.55000000000000004">
      <c r="A3" t="s">
        <v>46</v>
      </c>
      <c r="B3" s="19">
        <f>SUM(Probability!G16:G17)</f>
        <v>0</v>
      </c>
      <c r="C3" s="19">
        <f>SUM(Probability!H16:H17)</f>
        <v>0</v>
      </c>
      <c r="D3" s="19">
        <f t="shared" si="1"/>
        <v>0</v>
      </c>
      <c r="E3" t="str">
        <f t="shared" si="0"/>
        <v/>
      </c>
    </row>
    <row r="4" spans="1:5" x14ac:dyDescent="0.55000000000000004">
      <c r="A4" t="s">
        <v>43</v>
      </c>
      <c r="B4" s="19">
        <f>SUM(Probability!G18:G21)</f>
        <v>1</v>
      </c>
      <c r="C4" s="19">
        <f>SUM(Probability!H18:H21)</f>
        <v>1</v>
      </c>
      <c r="D4" s="19">
        <f t="shared" si="1"/>
        <v>0</v>
      </c>
      <c r="E4" t="str">
        <f t="shared" si="0"/>
        <v/>
      </c>
    </row>
    <row r="5" spans="1:5" x14ac:dyDescent="0.55000000000000004">
      <c r="A5" t="s">
        <v>47</v>
      </c>
      <c r="B5" s="19">
        <f>SUM(Probability!G22:G23)</f>
        <v>0</v>
      </c>
      <c r="C5" s="19">
        <f>SUM(Probability!H22:H23)</f>
        <v>0</v>
      </c>
      <c r="D5" s="19">
        <f t="shared" si="1"/>
        <v>0</v>
      </c>
      <c r="E5" t="str">
        <f t="shared" si="0"/>
        <v/>
      </c>
    </row>
    <row r="6" spans="1:5" x14ac:dyDescent="0.55000000000000004">
      <c r="A6" t="s">
        <v>48</v>
      </c>
      <c r="B6" s="25">
        <f>SUM(Probability!G24:G26)</f>
        <v>0.7429</v>
      </c>
      <c r="C6" s="25">
        <f>SUM(Probability!H24:H26)</f>
        <v>0.74870000000000003</v>
      </c>
      <c r="D6" s="19">
        <f t="shared" si="1"/>
        <v>0</v>
      </c>
      <c r="E6" t="str">
        <f t="shared" si="0"/>
        <v/>
      </c>
    </row>
    <row r="7" spans="1:5" x14ac:dyDescent="0.55000000000000004">
      <c r="A7" t="s">
        <v>49</v>
      </c>
      <c r="B7" s="25">
        <f>SUM(Probability!G27:G30)</f>
        <v>0.96760000000000002</v>
      </c>
      <c r="C7" s="25">
        <f>SUM(Probability!H27:H30)</f>
        <v>0.91120000000000001</v>
      </c>
      <c r="D7" s="19">
        <f t="shared" si="1"/>
        <v>0</v>
      </c>
      <c r="E7" t="str">
        <f t="shared" si="0"/>
        <v/>
      </c>
    </row>
    <row r="8" spans="1:5" x14ac:dyDescent="0.55000000000000004">
      <c r="B8" s="19"/>
      <c r="C8" s="19"/>
      <c r="D8" s="19">
        <f>SUM(D1:D7)</f>
        <v>0</v>
      </c>
    </row>
    <row r="9" spans="1:5" x14ac:dyDescent="0.55000000000000004">
      <c r="B9" s="19"/>
      <c r="C9" s="19"/>
      <c r="D9" s="19"/>
    </row>
    <row r="10" spans="1:5" x14ac:dyDescent="0.55000000000000004">
      <c r="B10" s="19"/>
      <c r="C10" s="19"/>
      <c r="D10" s="19"/>
    </row>
    <row r="11" spans="1:5" x14ac:dyDescent="0.55000000000000004">
      <c r="B11" s="19"/>
      <c r="C11" s="19"/>
      <c r="D11" s="19"/>
    </row>
  </sheetData>
  <sortState ref="F1:F7">
    <sortCondition descending="1" ref="F1"/>
  </sortState>
  <dataValidations count="1">
    <dataValidation type="decimal" allowBlank="1" showInputMessage="1" showErrorMessage="1" sqref="B7">
      <formula1>#REF!</formula1>
      <formula2>#REF!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Probability</vt:lpstr>
      <vt:lpstr>Rule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2017-06-04T18:19:37Z</dcterms:created>
  <dcterms:modified xsi:type="dcterms:W3CDTF">2017-06-14T14:19:02Z</dcterms:modified>
</cp:coreProperties>
</file>